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>
    <definedName hidden="1" localSheetId="0" name="_xlnm._FilterDatabase">'Respostas ao formulário 1'!$A$1:$I$63</definedName>
  </definedNames>
  <calcPr/>
</workbook>
</file>

<file path=xl/sharedStrings.xml><?xml version="1.0" encoding="utf-8"?>
<sst xmlns="http://schemas.openxmlformats.org/spreadsheetml/2006/main" count="263" uniqueCount="97">
  <si>
    <t>Carimbo de data/hora</t>
  </si>
  <si>
    <t>Nome completo</t>
  </si>
  <si>
    <t>Idade</t>
  </si>
  <si>
    <t>Número de telefone</t>
  </si>
  <si>
    <t>Você é membro de alguma igreja? Qual?</t>
  </si>
  <si>
    <t>Você possui alguma restrição alimentar? Qual?</t>
  </si>
  <si>
    <t>✅ COMO DESEJA PARTICIPAR?</t>
  </si>
  <si>
    <t>Valores Pagos</t>
  </si>
  <si>
    <t>Falta pagar</t>
  </si>
  <si>
    <t xml:space="preserve">Thiago Bueno </t>
  </si>
  <si>
    <t>IPB - SMA</t>
  </si>
  <si>
    <t>Não</t>
  </si>
  <si>
    <t>PARCELADO EM 5x de R$ 40,00 (Novembro/Dezembro/Janeiro/Fevereiro e Março)</t>
  </si>
  <si>
    <t xml:space="preserve">Gustavo Henrique Ferreira Silva </t>
  </si>
  <si>
    <t>IPB - Itu</t>
  </si>
  <si>
    <t>ACAMPAMENTO COMPLETO – PIX – R$ 200,00</t>
  </si>
  <si>
    <t xml:space="preserve">João Guilherme Ferreira Silva </t>
  </si>
  <si>
    <t>Rafaela Caldini</t>
  </si>
  <si>
    <t>Calvario - CIDADE?</t>
  </si>
  <si>
    <t>Rafael Nicolucci de Oliveira</t>
  </si>
  <si>
    <t>TESTEMUNHA DE JEOVA</t>
  </si>
  <si>
    <t>Nathália Machado Vieira de Oliveira</t>
  </si>
  <si>
    <t>Théo Vieira de Oliveira</t>
  </si>
  <si>
    <t>Lucas Medeiros</t>
  </si>
  <si>
    <t>Igreja Batista Água Viva - CIDADE?</t>
  </si>
  <si>
    <t>Luisa Muniz de Oliveira</t>
  </si>
  <si>
    <t>IPB - Pilar do Sul</t>
  </si>
  <si>
    <t xml:space="preserve">Aline Eduarda Rodrigues </t>
  </si>
  <si>
    <t>Desirée Medeiros Rodrigues Cirino</t>
  </si>
  <si>
    <t xml:space="preserve">Theodora Vitale Negrão </t>
  </si>
  <si>
    <t>Sara Mello</t>
  </si>
  <si>
    <t xml:space="preserve">Giovana Motta de Oliveira </t>
  </si>
  <si>
    <t xml:space="preserve">Sim,lactose </t>
  </si>
  <si>
    <t xml:space="preserve">Ana Laura Rodrigues Campos </t>
  </si>
  <si>
    <t xml:space="preserve">Isabelle Vitória Canonico de Santi </t>
  </si>
  <si>
    <t>Jose Trettel</t>
  </si>
  <si>
    <t xml:space="preserve">Ana Luiza Trettel Rocha </t>
  </si>
  <si>
    <t xml:space="preserve">Rafael Rodrigues Campos </t>
  </si>
  <si>
    <t xml:space="preserve">Luccas Vieira de Souza </t>
  </si>
  <si>
    <t xml:space="preserve">Maria dos santos da Silva Cabral </t>
  </si>
  <si>
    <t>Sandro Valérius dos Santos</t>
  </si>
  <si>
    <t>Galpão 3.16 - Sorocaba</t>
  </si>
  <si>
    <t>Patrícia Lameira dos Santos</t>
  </si>
  <si>
    <t xml:space="preserve">Bruno José Cabral </t>
  </si>
  <si>
    <t>Bianca dos Santos Pereira Cabral</t>
  </si>
  <si>
    <t xml:space="preserve">Luiz Gustavo Toldo </t>
  </si>
  <si>
    <t>IP Jd Licinia - Campinas</t>
  </si>
  <si>
    <t xml:space="preserve">Bernardo Lacerda Toldo </t>
  </si>
  <si>
    <t xml:space="preserve">Bianca Lacerda Toldo </t>
  </si>
  <si>
    <t xml:space="preserve">Rebeca Moure </t>
  </si>
  <si>
    <t xml:space="preserve">Davi Ricardo Rodrigues Campos </t>
  </si>
  <si>
    <t xml:space="preserve">Wellington Mendes de Queiroz </t>
  </si>
  <si>
    <t xml:space="preserve">Não </t>
  </si>
  <si>
    <t>Arthur Campos Julio</t>
  </si>
  <si>
    <t>Nao</t>
  </si>
  <si>
    <t>ACAMPAMENTO COMPLETO – CARTÃO (1x R$ 210,48 ou parcelado com juros)</t>
  </si>
  <si>
    <t>Giovanna Gagliardo de Campos</t>
  </si>
  <si>
    <t xml:space="preserve">Giulia Gagliardo de Campos </t>
  </si>
  <si>
    <t xml:space="preserve">Patriny de Góis Pereira Vieira </t>
  </si>
  <si>
    <t xml:space="preserve">Julene de Jesus Rodrigues Cavalheiro </t>
  </si>
  <si>
    <t>Efraim Marcelo Ferreira Cavalheiro</t>
  </si>
  <si>
    <t xml:space="preserve">Tainá Miriam Mendes de Queiroz </t>
  </si>
  <si>
    <t xml:space="preserve">Nao </t>
  </si>
  <si>
    <t>DIÁRIA – PIX – R$ 90,00</t>
  </si>
  <si>
    <t>Henrique Barbosa</t>
  </si>
  <si>
    <t>Eduardo Martins</t>
  </si>
  <si>
    <t>Tamiris Machado Martins</t>
  </si>
  <si>
    <t>Lis Maria Machado Martins</t>
  </si>
  <si>
    <t>Joaquim Machado Martins</t>
  </si>
  <si>
    <t>Bernardo Bovolato</t>
  </si>
  <si>
    <t>Isabelle Vitória Canonico de Santi</t>
  </si>
  <si>
    <t>Análise Souto</t>
  </si>
  <si>
    <t xml:space="preserve">São Miguel Arcanjo </t>
  </si>
  <si>
    <t xml:space="preserve">Fátima da Silva </t>
  </si>
  <si>
    <t xml:space="preserve">Silvana da Silva </t>
  </si>
  <si>
    <t xml:space="preserve">Raphael Moreira de Souza Cardoso </t>
  </si>
  <si>
    <t>Marceli Moreira Ferreira Cardoso</t>
  </si>
  <si>
    <t>Melissa Rios Brito</t>
  </si>
  <si>
    <t>não</t>
  </si>
  <si>
    <t xml:space="preserve">Eraldo Cleto Alves </t>
  </si>
  <si>
    <t xml:space="preserve">Marli Aparecida Souza Alves </t>
  </si>
  <si>
    <t>Carla Jussara Brisola Coan Bueno</t>
  </si>
  <si>
    <t xml:space="preserve">Danilo Coan Ramos de Almeida Bueno </t>
  </si>
  <si>
    <t xml:space="preserve">Caio Brisola Coan Ramos Bueno </t>
  </si>
  <si>
    <t>Lara Brisola Coan Ramos Bueno</t>
  </si>
  <si>
    <t xml:space="preserve">João Gabriel Almeida Painço </t>
  </si>
  <si>
    <t xml:space="preserve">Bianca Dias dos Santos </t>
  </si>
  <si>
    <t>Fabricio Sena</t>
  </si>
  <si>
    <t xml:space="preserve">Segunda IPB de Jundiaí </t>
  </si>
  <si>
    <t>Intolerância a lactose</t>
  </si>
  <si>
    <t>Eric Tiago Machado Vieira</t>
  </si>
  <si>
    <t>Daniele Lopes Ferreira - não inscrito Pago dia 25/02</t>
  </si>
  <si>
    <t>Patriny Gois - Pagou via Cartão, mas já tinha feito pix anteriormente</t>
  </si>
  <si>
    <t>Total Inscrições pagas</t>
  </si>
  <si>
    <t>Valor faltante</t>
  </si>
  <si>
    <t xml:space="preserve">Doações </t>
  </si>
  <si>
    <t xml:space="preserve">Saldo total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</si>
</sst>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2" fontId="1" numFmtId="165" xfId="0" applyAlignment="1" applyFill="1" applyFont="1" applyNumberForma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164" xfId="0" applyAlignment="1" applyFont="1" applyNumberFormat="1">
      <alignment readingOrder="0" shrinkToFit="0" vertical="center" wrapText="0"/>
    </xf>
    <xf borderId="0" fillId="3" fontId="1" numFmtId="165" xfId="0" applyAlignment="1" applyFill="1" applyFont="1" applyNumberForma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1" numFmtId="164" xfId="0" applyAlignment="1" applyFont="1" applyNumberFormat="1">
      <alignment readingOrder="0" shrinkToFit="0" vertical="center" wrapText="0"/>
    </xf>
    <xf borderId="0" fillId="4" fontId="2" numFmtId="0" xfId="0" applyAlignment="1" applyFill="1" applyFont="1">
      <alignment readingOrder="0" shrinkToFit="0" vertical="center" wrapText="0"/>
    </xf>
    <xf borderId="0" fillId="5" fontId="1" numFmtId="0" xfId="0" applyAlignment="1" applyFill="1" applyFont="1">
      <alignment readingOrder="0" shrinkToFit="0" vertical="center" wrapText="0"/>
    </xf>
    <xf borderId="0" fillId="3" fontId="1" numFmtId="164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2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Font="1" applyNumberFormat="1"/>
    <xf borderId="0" fillId="0" fontId="1" numFmtId="164" xfId="0" applyAlignment="1" applyFont="1" applyNumberFormat="1">
      <alignment readingOrder="0"/>
    </xf>
    <xf borderId="0" fillId="2" fontId="1" numFmtId="0" xfId="0" applyFont="1"/>
    <xf borderId="0" fillId="2" fontId="1" numFmtId="0" xfId="0" applyAlignment="1" applyFont="1">
      <alignment readingOrder="0"/>
    </xf>
    <xf borderId="0" fillId="2" fontId="1" numFmtId="164" xfId="0" applyAlignment="1" applyFont="1" applyNumberFormat="1">
      <alignment readingOrder="0"/>
    </xf>
    <xf borderId="0" fillId="2" fontId="1" numFmtId="164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63" displayName="Form_Responses" name="Form_Responses" id="1">
  <autoFilter ref="$A$1:$I$63"/>
  <tableColumns count="9">
    <tableColumn name="Carimbo de data/hora" id="1"/>
    <tableColumn name="Nome completo" id="2"/>
    <tableColumn name="Idade" id="3"/>
    <tableColumn name="Número de telefone" id="4"/>
    <tableColumn name="Você é membro de alguma igreja? Qual?" id="5"/>
    <tableColumn name="Você possui alguma restrição alimentar? Qual?" id="6"/>
    <tableColumn name="✅ COMO DESEJA PARTICIPAR?" id="7"/>
    <tableColumn name="Valores Pagos" id="8"/>
    <tableColumn name="Falta pagar" id="9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  <col customWidth="1" min="2" max="2" width="35.38"/>
    <col customWidth="1" min="3" max="3" width="11.63"/>
    <col customWidth="1" min="4" max="4" width="27.75"/>
    <col customWidth="1" min="5" max="5" width="34.38"/>
    <col customWidth="1" min="6" max="6" width="16.25"/>
    <col customWidth="1" min="7" max="7" width="31.38"/>
    <col customWidth="1" min="8" max="1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</row>
    <row r="2" ht="22.5" customHeight="1">
      <c r="A2" s="4">
        <v>45953.484673541665</v>
      </c>
      <c r="B2" s="5" t="s">
        <v>9</v>
      </c>
      <c r="C2" s="5">
        <v>34.0</v>
      </c>
      <c r="D2" s="5">
        <v>1.5998210467E10</v>
      </c>
      <c r="E2" s="5" t="s">
        <v>10</v>
      </c>
      <c r="F2" s="5" t="s">
        <v>11</v>
      </c>
      <c r="G2" s="5" t="s">
        <v>12</v>
      </c>
      <c r="H2" s="6">
        <v>0.0</v>
      </c>
      <c r="I2" s="7">
        <f t="shared" ref="I2:I7" si="1">200-H2</f>
        <v>200</v>
      </c>
    </row>
    <row r="3" ht="22.5" customHeight="1">
      <c r="A3" s="4">
        <v>45967.35947398148</v>
      </c>
      <c r="B3" s="5" t="s">
        <v>13</v>
      </c>
      <c r="C3" s="5">
        <v>15.0</v>
      </c>
      <c r="D3" s="5">
        <v>1.1999138586E10</v>
      </c>
      <c r="E3" s="8" t="s">
        <v>14</v>
      </c>
      <c r="F3" s="5" t="s">
        <v>11</v>
      </c>
      <c r="G3" s="8" t="s">
        <v>15</v>
      </c>
      <c r="H3" s="6">
        <v>0.0</v>
      </c>
      <c r="I3" s="7">
        <f t="shared" si="1"/>
        <v>200</v>
      </c>
    </row>
    <row r="4" ht="22.5" customHeight="1">
      <c r="A4" s="4">
        <v>45967.36036619213</v>
      </c>
      <c r="B4" s="5" t="s">
        <v>16</v>
      </c>
      <c r="C4" s="5">
        <v>20.0</v>
      </c>
      <c r="D4" s="5">
        <v>1.1999138586E10</v>
      </c>
      <c r="E4" s="8" t="s">
        <v>14</v>
      </c>
      <c r="F4" s="5" t="s">
        <v>11</v>
      </c>
      <c r="G4" s="8" t="s">
        <v>15</v>
      </c>
      <c r="H4" s="6">
        <v>0.0</v>
      </c>
      <c r="I4" s="7">
        <f t="shared" si="1"/>
        <v>200</v>
      </c>
    </row>
    <row r="5" ht="22.5" customHeight="1">
      <c r="A5" s="9">
        <v>45972.64026180556</v>
      </c>
      <c r="B5" s="8" t="s">
        <v>17</v>
      </c>
      <c r="C5" s="8">
        <v>18.0</v>
      </c>
      <c r="D5" s="8">
        <v>1.5997377316E10</v>
      </c>
      <c r="E5" s="8" t="s">
        <v>18</v>
      </c>
      <c r="F5" s="8" t="s">
        <v>11</v>
      </c>
      <c r="G5" s="8" t="s">
        <v>15</v>
      </c>
      <c r="H5" s="6">
        <v>0.0</v>
      </c>
      <c r="I5" s="7">
        <f t="shared" si="1"/>
        <v>200</v>
      </c>
    </row>
    <row r="6" ht="22.5" customHeight="1">
      <c r="A6" s="10">
        <v>45988.470592708334</v>
      </c>
      <c r="B6" s="11" t="s">
        <v>19</v>
      </c>
      <c r="C6" s="11">
        <v>35.0</v>
      </c>
      <c r="D6" s="11">
        <v>1.5998329292E10</v>
      </c>
      <c r="E6" s="11" t="s">
        <v>20</v>
      </c>
      <c r="F6" s="11" t="s">
        <v>11</v>
      </c>
      <c r="G6" s="11" t="s">
        <v>12</v>
      </c>
      <c r="H6" s="12">
        <v>160.0</v>
      </c>
      <c r="I6" s="12">
        <f t="shared" si="1"/>
        <v>40</v>
      </c>
    </row>
    <row r="7" ht="22.5" customHeight="1">
      <c r="A7" s="10">
        <v>45988.4735315625</v>
      </c>
      <c r="B7" s="11" t="s">
        <v>21</v>
      </c>
      <c r="C7" s="11">
        <v>33.0</v>
      </c>
      <c r="D7" s="11">
        <v>1.5996661683E10</v>
      </c>
      <c r="E7" s="11" t="s">
        <v>20</v>
      </c>
      <c r="F7" s="11" t="s">
        <v>11</v>
      </c>
      <c r="G7" s="11" t="s">
        <v>12</v>
      </c>
      <c r="H7" s="12">
        <v>160.0</v>
      </c>
      <c r="I7" s="12">
        <f t="shared" si="1"/>
        <v>40</v>
      </c>
    </row>
    <row r="8" ht="22.5" customHeight="1">
      <c r="A8" s="10">
        <v>45988.47454202546</v>
      </c>
      <c r="B8" s="11" t="s">
        <v>22</v>
      </c>
      <c r="C8" s="11">
        <v>8.0</v>
      </c>
      <c r="D8" s="11">
        <v>1.5998329292E10</v>
      </c>
      <c r="E8" s="11" t="s">
        <v>20</v>
      </c>
      <c r="F8" s="11" t="s">
        <v>11</v>
      </c>
      <c r="G8" s="11" t="s">
        <v>12</v>
      </c>
      <c r="H8" s="12">
        <v>72.0</v>
      </c>
      <c r="I8" s="12">
        <f>90-H8</f>
        <v>18</v>
      </c>
    </row>
    <row r="9" ht="22.5" customHeight="1">
      <c r="A9" s="9">
        <v>45988.88085091436</v>
      </c>
      <c r="B9" s="8" t="s">
        <v>23</v>
      </c>
      <c r="C9" s="8">
        <v>31.0</v>
      </c>
      <c r="D9" s="8">
        <v>1.5997383252E10</v>
      </c>
      <c r="E9" s="8" t="s">
        <v>24</v>
      </c>
      <c r="F9" s="8" t="s">
        <v>11</v>
      </c>
      <c r="G9" s="8" t="s">
        <v>15</v>
      </c>
      <c r="H9" s="6">
        <v>0.0</v>
      </c>
      <c r="I9" s="7">
        <f t="shared" ref="I9:I39" si="2">200-H9</f>
        <v>200</v>
      </c>
    </row>
    <row r="10" ht="22.5" customHeight="1">
      <c r="A10" s="13">
        <v>45989.35557366898</v>
      </c>
      <c r="B10" s="14" t="s">
        <v>25</v>
      </c>
      <c r="C10" s="14">
        <v>13.0</v>
      </c>
      <c r="D10" s="14">
        <v>1.5998073905E10</v>
      </c>
      <c r="E10" s="14" t="s">
        <v>26</v>
      </c>
      <c r="F10" s="14" t="s">
        <v>11</v>
      </c>
      <c r="G10" s="14" t="s">
        <v>12</v>
      </c>
      <c r="H10" s="15">
        <f>120+80</f>
        <v>200</v>
      </c>
      <c r="I10" s="15">
        <f t="shared" si="2"/>
        <v>0</v>
      </c>
    </row>
    <row r="11" ht="22.5" customHeight="1">
      <c r="A11" s="9">
        <v>45991.72189862268</v>
      </c>
      <c r="B11" s="8" t="s">
        <v>27</v>
      </c>
      <c r="C11" s="8">
        <v>36.0</v>
      </c>
      <c r="D11" s="8">
        <v>1.0</v>
      </c>
      <c r="E11" s="8" t="s">
        <v>10</v>
      </c>
      <c r="F11" s="8" t="s">
        <v>11</v>
      </c>
      <c r="G11" s="8" t="s">
        <v>12</v>
      </c>
      <c r="H11" s="6">
        <v>0.0</v>
      </c>
      <c r="I11" s="7">
        <f t="shared" si="2"/>
        <v>200</v>
      </c>
    </row>
    <row r="12" ht="22.5" customHeight="1">
      <c r="A12" s="13">
        <v>45992.35183858796</v>
      </c>
      <c r="B12" s="14" t="s">
        <v>28</v>
      </c>
      <c r="C12" s="14">
        <v>33.0</v>
      </c>
      <c r="D12" s="14">
        <v>1.5996019768E10</v>
      </c>
      <c r="E12" s="14" t="s">
        <v>10</v>
      </c>
      <c r="F12" s="14" t="s">
        <v>11</v>
      </c>
      <c r="G12" s="14" t="s">
        <v>12</v>
      </c>
      <c r="H12" s="15">
        <v>200.0</v>
      </c>
      <c r="I12" s="15">
        <f t="shared" si="2"/>
        <v>0</v>
      </c>
    </row>
    <row r="13" ht="22.5" customHeight="1">
      <c r="A13" s="9">
        <v>46008.748270578704</v>
      </c>
      <c r="B13" s="8" t="s">
        <v>29</v>
      </c>
      <c r="C13" s="8">
        <v>13.0</v>
      </c>
      <c r="D13" s="8">
        <v>1.1913534969E10</v>
      </c>
      <c r="E13" s="8" t="s">
        <v>14</v>
      </c>
      <c r="F13" s="8" t="s">
        <v>11</v>
      </c>
      <c r="G13" s="8" t="s">
        <v>15</v>
      </c>
      <c r="H13" s="6">
        <v>0.0</v>
      </c>
      <c r="I13" s="7">
        <f t="shared" si="2"/>
        <v>200</v>
      </c>
    </row>
    <row r="14" ht="22.5" customHeight="1">
      <c r="A14" s="9">
        <v>46015.51542157408</v>
      </c>
      <c r="B14" s="8" t="s">
        <v>30</v>
      </c>
      <c r="C14" s="8">
        <v>16.0</v>
      </c>
      <c r="D14" s="8">
        <v>1.1934186058E10</v>
      </c>
      <c r="E14" s="8" t="s">
        <v>14</v>
      </c>
      <c r="F14" s="8" t="s">
        <v>11</v>
      </c>
      <c r="G14" s="8" t="s">
        <v>12</v>
      </c>
      <c r="H14" s="6">
        <v>0.0</v>
      </c>
      <c r="I14" s="7">
        <f t="shared" si="2"/>
        <v>200</v>
      </c>
    </row>
    <row r="15" ht="22.5" customHeight="1">
      <c r="A15" s="10">
        <v>46026.851575520835</v>
      </c>
      <c r="B15" s="11" t="s">
        <v>31</v>
      </c>
      <c r="C15" s="11">
        <v>14.0</v>
      </c>
      <c r="D15" s="11">
        <v>1.5997941277E10</v>
      </c>
      <c r="E15" s="11" t="s">
        <v>14</v>
      </c>
      <c r="F15" s="16" t="s">
        <v>32</v>
      </c>
      <c r="G15" s="11" t="s">
        <v>12</v>
      </c>
      <c r="H15" s="12">
        <f>70+70</f>
        <v>140</v>
      </c>
      <c r="I15" s="12">
        <f t="shared" si="2"/>
        <v>60</v>
      </c>
    </row>
    <row r="16" ht="22.5" customHeight="1">
      <c r="A16" s="13">
        <v>46034.93480728009</v>
      </c>
      <c r="B16" s="14" t="s">
        <v>33</v>
      </c>
      <c r="C16" s="14">
        <v>16.0</v>
      </c>
      <c r="D16" s="14">
        <v>1.1953159334E10</v>
      </c>
      <c r="E16" s="14" t="s">
        <v>14</v>
      </c>
      <c r="F16" s="14" t="s">
        <v>11</v>
      </c>
      <c r="G16" s="14" t="s">
        <v>15</v>
      </c>
      <c r="H16" s="15">
        <v>200.0</v>
      </c>
      <c r="I16" s="15">
        <f t="shared" si="2"/>
        <v>0</v>
      </c>
    </row>
    <row r="17" ht="22.5" customHeight="1">
      <c r="A17" s="9">
        <v>46041.32586482639</v>
      </c>
      <c r="B17" s="8" t="s">
        <v>34</v>
      </c>
      <c r="C17" s="8">
        <v>19.0</v>
      </c>
      <c r="D17" s="8">
        <v>1.1973733248E10</v>
      </c>
      <c r="E17" s="8" t="s">
        <v>14</v>
      </c>
      <c r="F17" s="8" t="s">
        <v>11</v>
      </c>
      <c r="G17" s="8" t="s">
        <v>15</v>
      </c>
      <c r="H17" s="6">
        <v>0.0</v>
      </c>
      <c r="I17" s="7">
        <f t="shared" si="2"/>
        <v>200</v>
      </c>
    </row>
    <row r="18" ht="22.5" customHeight="1">
      <c r="A18" s="9">
        <v>46044.81511322917</v>
      </c>
      <c r="B18" s="8" t="s">
        <v>35</v>
      </c>
      <c r="C18" s="8">
        <v>15.0</v>
      </c>
      <c r="D18" s="8">
        <v>1.1912141643E10</v>
      </c>
      <c r="E18" s="8" t="s">
        <v>14</v>
      </c>
      <c r="F18" s="8" t="s">
        <v>11</v>
      </c>
      <c r="G18" s="8" t="s">
        <v>12</v>
      </c>
      <c r="H18" s="6">
        <v>0.0</v>
      </c>
      <c r="I18" s="7">
        <f t="shared" si="2"/>
        <v>200</v>
      </c>
    </row>
    <row r="19" ht="22.5" customHeight="1">
      <c r="A19" s="9">
        <v>46044.81827189815</v>
      </c>
      <c r="B19" s="8" t="s">
        <v>36</v>
      </c>
      <c r="C19" s="8">
        <v>12.0</v>
      </c>
      <c r="D19" s="8">
        <v>1.1998211982E10</v>
      </c>
      <c r="E19" s="8" t="s">
        <v>14</v>
      </c>
      <c r="F19" s="8" t="s">
        <v>11</v>
      </c>
      <c r="G19" s="8" t="s">
        <v>12</v>
      </c>
      <c r="H19" s="6">
        <v>0.0</v>
      </c>
      <c r="I19" s="7">
        <f t="shared" si="2"/>
        <v>200</v>
      </c>
    </row>
    <row r="20" ht="22.5" customHeight="1">
      <c r="A20" s="13">
        <v>46046.64678542824</v>
      </c>
      <c r="B20" s="14" t="s">
        <v>37</v>
      </c>
      <c r="C20" s="14">
        <v>12.0</v>
      </c>
      <c r="D20" s="14">
        <v>1.1999207888E10</v>
      </c>
      <c r="E20" s="14" t="s">
        <v>14</v>
      </c>
      <c r="F20" s="14" t="s">
        <v>11</v>
      </c>
      <c r="G20" s="14" t="s">
        <v>15</v>
      </c>
      <c r="H20" s="15">
        <v>200.0</v>
      </c>
      <c r="I20" s="15">
        <f t="shared" si="2"/>
        <v>0</v>
      </c>
    </row>
    <row r="21" ht="22.5" customHeight="1">
      <c r="A21" s="9">
        <v>46064.82448491898</v>
      </c>
      <c r="B21" s="8" t="s">
        <v>38</v>
      </c>
      <c r="C21" s="8">
        <v>29.0</v>
      </c>
      <c r="D21" s="8">
        <v>1.5997248359E10</v>
      </c>
      <c r="E21" s="8" t="s">
        <v>10</v>
      </c>
      <c r="F21" s="8" t="s">
        <v>11</v>
      </c>
      <c r="G21" s="8" t="s">
        <v>15</v>
      </c>
      <c r="H21" s="6">
        <v>0.0</v>
      </c>
      <c r="I21" s="7">
        <f t="shared" si="2"/>
        <v>200</v>
      </c>
    </row>
    <row r="22" ht="22.5" customHeight="1">
      <c r="A22" s="13">
        <v>46068.70991171296</v>
      </c>
      <c r="B22" s="14" t="s">
        <v>39</v>
      </c>
      <c r="C22" s="14">
        <v>52.0</v>
      </c>
      <c r="D22" s="14">
        <v>1.5997860701E10</v>
      </c>
      <c r="E22" s="14" t="s">
        <v>10</v>
      </c>
      <c r="F22" s="14" t="s">
        <v>11</v>
      </c>
      <c r="G22" s="14" t="s">
        <v>15</v>
      </c>
      <c r="H22" s="15">
        <v>200.0</v>
      </c>
      <c r="I22" s="15">
        <f t="shared" si="2"/>
        <v>0</v>
      </c>
    </row>
    <row r="23" ht="22.5" customHeight="1">
      <c r="A23" s="13">
        <v>46069.48487325231</v>
      </c>
      <c r="B23" s="14" t="s">
        <v>40</v>
      </c>
      <c r="C23" s="14">
        <v>53.0</v>
      </c>
      <c r="D23" s="14">
        <v>1.9992764207E10</v>
      </c>
      <c r="E23" s="14" t="s">
        <v>41</v>
      </c>
      <c r="F23" s="14" t="s">
        <v>11</v>
      </c>
      <c r="G23" s="14" t="s">
        <v>15</v>
      </c>
      <c r="H23" s="15">
        <v>200.0</v>
      </c>
      <c r="I23" s="15">
        <f t="shared" si="2"/>
        <v>0</v>
      </c>
    </row>
    <row r="24" ht="22.5" customHeight="1">
      <c r="A24" s="13">
        <v>46069.485649780094</v>
      </c>
      <c r="B24" s="14" t="s">
        <v>42</v>
      </c>
      <c r="C24" s="14">
        <v>48.0</v>
      </c>
      <c r="D24" s="14">
        <v>1.9991540189E10</v>
      </c>
      <c r="E24" s="14" t="s">
        <v>41</v>
      </c>
      <c r="F24" s="14" t="s">
        <v>11</v>
      </c>
      <c r="G24" s="14" t="s">
        <v>15</v>
      </c>
      <c r="H24" s="15">
        <v>200.0</v>
      </c>
      <c r="I24" s="15">
        <f t="shared" si="2"/>
        <v>0</v>
      </c>
    </row>
    <row r="25" ht="22.5" customHeight="1">
      <c r="A25" s="13">
        <v>46070.4851490625</v>
      </c>
      <c r="B25" s="14" t="s">
        <v>43</v>
      </c>
      <c r="C25" s="14">
        <v>31.0</v>
      </c>
      <c r="D25" s="14">
        <v>1.5997195951E10</v>
      </c>
      <c r="E25" s="14" t="s">
        <v>10</v>
      </c>
      <c r="F25" s="14" t="s">
        <v>11</v>
      </c>
      <c r="G25" s="14" t="s">
        <v>15</v>
      </c>
      <c r="H25" s="15">
        <v>200.0</v>
      </c>
      <c r="I25" s="15">
        <f t="shared" si="2"/>
        <v>0</v>
      </c>
    </row>
    <row r="26" ht="22.5" customHeight="1">
      <c r="A26" s="13">
        <v>46070.48898782408</v>
      </c>
      <c r="B26" s="14" t="s">
        <v>44</v>
      </c>
      <c r="C26" s="14">
        <v>27.0</v>
      </c>
      <c r="D26" s="14">
        <v>1.5998386084E10</v>
      </c>
      <c r="E26" s="14" t="s">
        <v>10</v>
      </c>
      <c r="F26" s="14" t="s">
        <v>11</v>
      </c>
      <c r="G26" s="14" t="s">
        <v>15</v>
      </c>
      <c r="H26" s="15">
        <v>200.0</v>
      </c>
      <c r="I26" s="15">
        <f t="shared" si="2"/>
        <v>0</v>
      </c>
    </row>
    <row r="27" ht="22.5" customHeight="1">
      <c r="A27" s="9">
        <v>46070.49287108796</v>
      </c>
      <c r="B27" s="8" t="s">
        <v>45</v>
      </c>
      <c r="C27" s="8">
        <v>40.0</v>
      </c>
      <c r="D27" s="8">
        <v>1.9981865798E10</v>
      </c>
      <c r="E27" s="8" t="s">
        <v>46</v>
      </c>
      <c r="F27" s="8" t="s">
        <v>11</v>
      </c>
      <c r="G27" s="17" t="s">
        <v>15</v>
      </c>
      <c r="H27" s="6">
        <v>0.0</v>
      </c>
      <c r="I27" s="7">
        <f t="shared" si="2"/>
        <v>200</v>
      </c>
    </row>
    <row r="28" ht="22.5" customHeight="1">
      <c r="A28" s="9">
        <v>46070.49458613426</v>
      </c>
      <c r="B28" s="8" t="s">
        <v>47</v>
      </c>
      <c r="C28" s="8">
        <v>11.0</v>
      </c>
      <c r="D28" s="8">
        <v>1.9981865798E10</v>
      </c>
      <c r="E28" s="8" t="s">
        <v>46</v>
      </c>
      <c r="F28" s="8" t="s">
        <v>11</v>
      </c>
      <c r="G28" s="17" t="s">
        <v>15</v>
      </c>
      <c r="H28" s="6">
        <v>0.0</v>
      </c>
      <c r="I28" s="7">
        <f t="shared" si="2"/>
        <v>200</v>
      </c>
    </row>
    <row r="29" ht="22.5" customHeight="1">
      <c r="A29" s="9">
        <v>46070.49686550926</v>
      </c>
      <c r="B29" s="8" t="s">
        <v>47</v>
      </c>
      <c r="C29" s="8">
        <v>8.0</v>
      </c>
      <c r="D29" s="8">
        <v>1.9981865798E10</v>
      </c>
      <c r="E29" s="8" t="s">
        <v>46</v>
      </c>
      <c r="F29" s="8" t="s">
        <v>11</v>
      </c>
      <c r="G29" s="17" t="s">
        <v>15</v>
      </c>
      <c r="H29" s="6">
        <v>0.0</v>
      </c>
      <c r="I29" s="7">
        <f t="shared" si="2"/>
        <v>200</v>
      </c>
    </row>
    <row r="30" ht="22.5" customHeight="1">
      <c r="A30" s="9">
        <v>46070.49971831018</v>
      </c>
      <c r="B30" s="8" t="s">
        <v>48</v>
      </c>
      <c r="C30" s="8">
        <v>33.0</v>
      </c>
      <c r="D30" s="8">
        <v>1.9981865797E10</v>
      </c>
      <c r="E30" s="8" t="s">
        <v>46</v>
      </c>
      <c r="F30" s="8" t="s">
        <v>11</v>
      </c>
      <c r="G30" s="17" t="s">
        <v>15</v>
      </c>
      <c r="H30" s="6">
        <v>0.0</v>
      </c>
      <c r="I30" s="7">
        <f t="shared" si="2"/>
        <v>200</v>
      </c>
    </row>
    <row r="31" ht="22.5" customHeight="1">
      <c r="A31" s="9">
        <v>46070.51280806713</v>
      </c>
      <c r="B31" s="8" t="s">
        <v>49</v>
      </c>
      <c r="C31" s="8">
        <v>30.0</v>
      </c>
      <c r="D31" s="8">
        <v>1.5996778362E10</v>
      </c>
      <c r="E31" s="8" t="s">
        <v>10</v>
      </c>
      <c r="F31" s="8" t="s">
        <v>11</v>
      </c>
      <c r="G31" s="8" t="s">
        <v>12</v>
      </c>
      <c r="H31" s="6">
        <v>0.0</v>
      </c>
      <c r="I31" s="7">
        <f t="shared" si="2"/>
        <v>200</v>
      </c>
    </row>
    <row r="32" ht="22.5" customHeight="1">
      <c r="A32" s="13">
        <v>46074.65327711806</v>
      </c>
      <c r="B32" s="14" t="s">
        <v>50</v>
      </c>
      <c r="C32" s="14">
        <v>45.0</v>
      </c>
      <c r="D32" s="14">
        <v>1.1955777738E10</v>
      </c>
      <c r="E32" s="14" t="s">
        <v>14</v>
      </c>
      <c r="F32" s="14" t="s">
        <v>11</v>
      </c>
      <c r="G32" s="14" t="s">
        <v>15</v>
      </c>
      <c r="H32" s="15">
        <v>200.0</v>
      </c>
      <c r="I32" s="18">
        <f t="shared" si="2"/>
        <v>0</v>
      </c>
    </row>
    <row r="33" ht="22.5" customHeight="1">
      <c r="A33" s="13">
        <v>46074.95314136574</v>
      </c>
      <c r="B33" s="14" t="s">
        <v>51</v>
      </c>
      <c r="C33" s="14">
        <v>33.0</v>
      </c>
      <c r="D33" s="14">
        <v>1.5997325181E10</v>
      </c>
      <c r="E33" s="14" t="s">
        <v>10</v>
      </c>
      <c r="F33" s="14" t="s">
        <v>52</v>
      </c>
      <c r="G33" s="14" t="s">
        <v>15</v>
      </c>
      <c r="H33" s="15">
        <v>200.0</v>
      </c>
      <c r="I33" s="15">
        <f t="shared" si="2"/>
        <v>0</v>
      </c>
    </row>
    <row r="34" ht="22.5" customHeight="1">
      <c r="A34" s="9">
        <v>46075.539279652774</v>
      </c>
      <c r="B34" s="8" t="s">
        <v>53</v>
      </c>
      <c r="C34" s="8">
        <v>12.0</v>
      </c>
      <c r="D34" s="8">
        <v>1.5996067537E10</v>
      </c>
      <c r="E34" s="8" t="s">
        <v>10</v>
      </c>
      <c r="F34" s="8" t="s">
        <v>54</v>
      </c>
      <c r="G34" s="8" t="s">
        <v>55</v>
      </c>
      <c r="H34" s="6">
        <v>0.0</v>
      </c>
      <c r="I34" s="7">
        <f t="shared" si="2"/>
        <v>200</v>
      </c>
    </row>
    <row r="35" ht="22.5" customHeight="1">
      <c r="A35" s="13">
        <v>46075.75095246528</v>
      </c>
      <c r="B35" s="14" t="s">
        <v>56</v>
      </c>
      <c r="C35" s="14">
        <v>23.0</v>
      </c>
      <c r="D35" s="14">
        <v>1.998259793E10</v>
      </c>
      <c r="E35" s="14" t="s">
        <v>46</v>
      </c>
      <c r="F35" s="14" t="s">
        <v>52</v>
      </c>
      <c r="G35" s="14" t="s">
        <v>15</v>
      </c>
      <c r="H35" s="15">
        <v>200.0</v>
      </c>
      <c r="I35" s="15">
        <f t="shared" si="2"/>
        <v>0</v>
      </c>
    </row>
    <row r="36" ht="22.5" customHeight="1">
      <c r="A36" s="13">
        <v>46075.75320802083</v>
      </c>
      <c r="B36" s="14" t="s">
        <v>57</v>
      </c>
      <c r="C36" s="14">
        <v>20.0</v>
      </c>
      <c r="D36" s="14">
        <v>1.9981308647E10</v>
      </c>
      <c r="E36" s="14" t="s">
        <v>46</v>
      </c>
      <c r="F36" s="14" t="s">
        <v>52</v>
      </c>
      <c r="G36" s="14" t="s">
        <v>15</v>
      </c>
      <c r="H36" s="15">
        <v>200.0</v>
      </c>
      <c r="I36" s="15">
        <f t="shared" si="2"/>
        <v>0</v>
      </c>
    </row>
    <row r="37" ht="22.5" customHeight="1">
      <c r="A37" s="13">
        <v>46078.29362975694</v>
      </c>
      <c r="B37" s="14" t="s">
        <v>58</v>
      </c>
      <c r="C37" s="14">
        <v>34.0</v>
      </c>
      <c r="D37" s="14">
        <v>1.5996039339E10</v>
      </c>
      <c r="E37" s="14" t="s">
        <v>26</v>
      </c>
      <c r="F37" s="14" t="s">
        <v>52</v>
      </c>
      <c r="G37" s="14" t="s">
        <v>15</v>
      </c>
      <c r="H37" s="15">
        <v>200.0</v>
      </c>
      <c r="I37" s="15">
        <f t="shared" si="2"/>
        <v>0</v>
      </c>
    </row>
    <row r="38" ht="22.5" customHeight="1">
      <c r="A38" s="9">
        <v>46078.95354269676</v>
      </c>
      <c r="B38" s="8" t="s">
        <v>59</v>
      </c>
      <c r="C38" s="8">
        <v>36.0</v>
      </c>
      <c r="D38" s="8">
        <v>1.5998468438E10</v>
      </c>
      <c r="E38" s="8" t="s">
        <v>10</v>
      </c>
      <c r="F38" s="8" t="s">
        <v>52</v>
      </c>
      <c r="G38" s="8" t="s">
        <v>15</v>
      </c>
      <c r="H38" s="6">
        <v>0.0</v>
      </c>
      <c r="I38" s="19">
        <f t="shared" si="2"/>
        <v>200</v>
      </c>
    </row>
    <row r="39" ht="22.5" customHeight="1">
      <c r="A39" s="9">
        <v>46078.95630763889</v>
      </c>
      <c r="B39" s="8" t="s">
        <v>60</v>
      </c>
      <c r="C39" s="8">
        <v>38.0</v>
      </c>
      <c r="D39" s="8">
        <v>1.5998123988E10</v>
      </c>
      <c r="E39" s="8" t="s">
        <v>10</v>
      </c>
      <c r="F39" s="8" t="s">
        <v>11</v>
      </c>
      <c r="G39" s="8" t="s">
        <v>15</v>
      </c>
      <c r="H39" s="6">
        <v>0.0</v>
      </c>
      <c r="I39" s="19">
        <f t="shared" si="2"/>
        <v>200</v>
      </c>
    </row>
    <row r="40" ht="22.5" customHeight="1">
      <c r="A40" s="9">
        <v>46079.45182004629</v>
      </c>
      <c r="B40" s="8" t="s">
        <v>61</v>
      </c>
      <c r="C40" s="8">
        <v>30.0</v>
      </c>
      <c r="D40" s="8">
        <v>1.599853528E10</v>
      </c>
      <c r="E40" s="8" t="s">
        <v>10</v>
      </c>
      <c r="F40" s="8" t="s">
        <v>62</v>
      </c>
      <c r="G40" s="8" t="s">
        <v>63</v>
      </c>
      <c r="H40" s="6">
        <v>0.0</v>
      </c>
      <c r="I40" s="8">
        <v>90.0</v>
      </c>
    </row>
    <row r="41" ht="22.5" customHeight="1">
      <c r="A41" s="9">
        <v>46079.45345880787</v>
      </c>
      <c r="B41" s="8" t="s">
        <v>64</v>
      </c>
      <c r="C41" s="8">
        <v>34.0</v>
      </c>
      <c r="D41" s="8">
        <v>1.5996450695E10</v>
      </c>
      <c r="E41" s="8" t="s">
        <v>10</v>
      </c>
      <c r="F41" s="8" t="s">
        <v>62</v>
      </c>
      <c r="G41" s="8" t="s">
        <v>63</v>
      </c>
      <c r="H41" s="6">
        <v>0.0</v>
      </c>
      <c r="I41" s="8">
        <v>90.0</v>
      </c>
    </row>
    <row r="42" ht="22.5" customHeight="1">
      <c r="A42" s="9">
        <v>46082.54593087963</v>
      </c>
      <c r="B42" s="8" t="s">
        <v>65</v>
      </c>
      <c r="C42" s="8">
        <v>34.0</v>
      </c>
      <c r="D42" s="8">
        <v>1.5996224575E10</v>
      </c>
      <c r="E42" s="8" t="s">
        <v>10</v>
      </c>
      <c r="F42" s="8" t="s">
        <v>52</v>
      </c>
      <c r="G42" s="8" t="s">
        <v>63</v>
      </c>
      <c r="H42" s="6">
        <v>0.0</v>
      </c>
      <c r="I42" s="8">
        <v>90.0</v>
      </c>
    </row>
    <row r="43" ht="22.5" customHeight="1">
      <c r="A43" s="9">
        <v>46082.54697430556</v>
      </c>
      <c r="B43" s="8" t="s">
        <v>66</v>
      </c>
      <c r="C43" s="8">
        <v>37.0</v>
      </c>
      <c r="D43" s="8">
        <v>1.5996832782E10</v>
      </c>
      <c r="E43" s="8" t="s">
        <v>10</v>
      </c>
      <c r="F43" s="8" t="s">
        <v>52</v>
      </c>
      <c r="G43" s="8" t="s">
        <v>63</v>
      </c>
      <c r="H43" s="6">
        <v>0.0</v>
      </c>
      <c r="I43" s="8">
        <v>90.0</v>
      </c>
    </row>
    <row r="44" ht="22.5" customHeight="1">
      <c r="A44" s="9">
        <v>46082.82621666667</v>
      </c>
      <c r="B44" s="8" t="s">
        <v>67</v>
      </c>
      <c r="C44" s="8">
        <v>10.0</v>
      </c>
      <c r="D44" s="8">
        <v>1.5996224575E10</v>
      </c>
      <c r="E44" s="8" t="s">
        <v>10</v>
      </c>
      <c r="F44" s="8" t="s">
        <v>52</v>
      </c>
      <c r="G44" s="8" t="s">
        <v>63</v>
      </c>
      <c r="H44" s="6">
        <v>0.0</v>
      </c>
      <c r="I44" s="8">
        <v>90.0</v>
      </c>
    </row>
    <row r="45" ht="22.5" customHeight="1">
      <c r="A45" s="9">
        <v>46082.82685563657</v>
      </c>
      <c r="B45" s="8" t="s">
        <v>68</v>
      </c>
      <c r="C45" s="8">
        <v>7.0</v>
      </c>
      <c r="D45" s="8">
        <v>1.5996224575E10</v>
      </c>
      <c r="E45" s="8" t="s">
        <v>10</v>
      </c>
      <c r="F45" s="8" t="s">
        <v>52</v>
      </c>
      <c r="G45" s="8" t="s">
        <v>63</v>
      </c>
      <c r="H45" s="6">
        <v>0.0</v>
      </c>
      <c r="I45" s="8">
        <v>90.0</v>
      </c>
    </row>
    <row r="46" ht="22.5" customHeight="1">
      <c r="A46" s="9">
        <v>46082.866330081015</v>
      </c>
      <c r="B46" s="8" t="s">
        <v>69</v>
      </c>
      <c r="C46" s="8">
        <v>19.0</v>
      </c>
      <c r="D46" s="8">
        <v>1.1992141184E10</v>
      </c>
      <c r="E46" s="8" t="s">
        <v>14</v>
      </c>
      <c r="F46" s="8" t="s">
        <v>52</v>
      </c>
      <c r="G46" s="8" t="s">
        <v>15</v>
      </c>
      <c r="H46" s="6">
        <v>0.0</v>
      </c>
      <c r="I46" s="19">
        <f t="shared" ref="I46:I63" si="3">200-H46</f>
        <v>200</v>
      </c>
    </row>
    <row r="47" ht="22.5" customHeight="1">
      <c r="A47" s="13">
        <v>46083.51295694444</v>
      </c>
      <c r="B47" s="14" t="s">
        <v>70</v>
      </c>
      <c r="C47" s="14">
        <v>19.0</v>
      </c>
      <c r="D47" s="14">
        <v>1.1973733248E10</v>
      </c>
      <c r="E47" s="14" t="s">
        <v>14</v>
      </c>
      <c r="F47" s="14" t="s">
        <v>52</v>
      </c>
      <c r="G47" s="14" t="s">
        <v>15</v>
      </c>
      <c r="H47" s="15">
        <v>200.0</v>
      </c>
      <c r="I47" s="15">
        <f t="shared" si="3"/>
        <v>0</v>
      </c>
    </row>
    <row r="48" ht="22.5" customHeight="1">
      <c r="A48" s="10">
        <v>46084.47416711805</v>
      </c>
      <c r="B48" s="11" t="s">
        <v>71</v>
      </c>
      <c r="C48" s="11">
        <v>12.0</v>
      </c>
      <c r="D48" s="11">
        <v>1.5981381818E10</v>
      </c>
      <c r="E48" s="11" t="s">
        <v>72</v>
      </c>
      <c r="F48" s="11" t="s">
        <v>52</v>
      </c>
      <c r="G48" s="11" t="s">
        <v>15</v>
      </c>
      <c r="H48" s="12">
        <v>150.0</v>
      </c>
      <c r="I48" s="20">
        <f t="shared" si="3"/>
        <v>50</v>
      </c>
    </row>
    <row r="49" ht="22.5" customHeight="1">
      <c r="A49" s="13">
        <v>46088.44795631945</v>
      </c>
      <c r="B49" s="14" t="s">
        <v>73</v>
      </c>
      <c r="C49" s="14">
        <v>61.0</v>
      </c>
      <c r="D49" s="14">
        <v>1.199997487E10</v>
      </c>
      <c r="E49" s="14" t="s">
        <v>41</v>
      </c>
      <c r="F49" s="14" t="s">
        <v>52</v>
      </c>
      <c r="G49" s="14" t="s">
        <v>15</v>
      </c>
      <c r="H49" s="15">
        <v>200.0</v>
      </c>
      <c r="I49" s="15">
        <f t="shared" si="3"/>
        <v>0</v>
      </c>
    </row>
    <row r="50" ht="22.5" customHeight="1">
      <c r="A50" s="13">
        <v>46088.44901105324</v>
      </c>
      <c r="B50" s="14" t="s">
        <v>74</v>
      </c>
      <c r="C50" s="14">
        <v>64.0</v>
      </c>
      <c r="D50" s="14">
        <v>1.199997487E10</v>
      </c>
      <c r="E50" s="14" t="s">
        <v>41</v>
      </c>
      <c r="F50" s="14" t="s">
        <v>52</v>
      </c>
      <c r="G50" s="14" t="s">
        <v>15</v>
      </c>
      <c r="H50" s="15">
        <v>200.0</v>
      </c>
      <c r="I50" s="15">
        <f t="shared" si="3"/>
        <v>0</v>
      </c>
    </row>
    <row r="51" ht="22.5" customHeight="1">
      <c r="A51" s="9">
        <v>46091.45505960648</v>
      </c>
      <c r="B51" s="8" t="s">
        <v>75</v>
      </c>
      <c r="C51" s="8">
        <v>37.0</v>
      </c>
      <c r="D51" s="8">
        <v>1.5981647628E10</v>
      </c>
      <c r="E51" s="8" t="s">
        <v>41</v>
      </c>
      <c r="F51" s="8" t="s">
        <v>11</v>
      </c>
      <c r="G51" s="8" t="s">
        <v>55</v>
      </c>
      <c r="H51" s="6">
        <v>0.0</v>
      </c>
      <c r="I51" s="19">
        <f t="shared" si="3"/>
        <v>200</v>
      </c>
    </row>
    <row r="52" ht="22.5" customHeight="1">
      <c r="A52" s="9">
        <v>46091.457525555554</v>
      </c>
      <c r="B52" s="8" t="s">
        <v>76</v>
      </c>
      <c r="C52" s="8">
        <v>30.0</v>
      </c>
      <c r="D52" s="8">
        <v>1.599675357E10</v>
      </c>
      <c r="E52" s="8" t="s">
        <v>41</v>
      </c>
      <c r="F52" s="8" t="s">
        <v>11</v>
      </c>
      <c r="G52" s="8" t="s">
        <v>55</v>
      </c>
      <c r="H52" s="6">
        <v>0.0</v>
      </c>
      <c r="I52" s="19">
        <f t="shared" si="3"/>
        <v>200</v>
      </c>
    </row>
    <row r="53" ht="22.5" customHeight="1">
      <c r="A53" s="9">
        <v>46091.90208714121</v>
      </c>
      <c r="B53" s="8" t="s">
        <v>77</v>
      </c>
      <c r="C53" s="8">
        <v>23.0</v>
      </c>
      <c r="D53" s="8">
        <v>1.9982012292E10</v>
      </c>
      <c r="E53" s="8" t="s">
        <v>46</v>
      </c>
      <c r="F53" s="8" t="s">
        <v>78</v>
      </c>
      <c r="G53" s="8" t="s">
        <v>15</v>
      </c>
      <c r="H53" s="6">
        <v>0.0</v>
      </c>
      <c r="I53" s="19">
        <f t="shared" si="3"/>
        <v>200</v>
      </c>
    </row>
    <row r="54" ht="22.5" customHeight="1">
      <c r="A54" s="13">
        <v>46093.27018577546</v>
      </c>
      <c r="B54" s="14" t="s">
        <v>79</v>
      </c>
      <c r="C54" s="14">
        <v>58.0</v>
      </c>
      <c r="D54" s="14">
        <v>1.5991416337E10</v>
      </c>
      <c r="E54" s="14" t="s">
        <v>41</v>
      </c>
      <c r="F54" s="14" t="s">
        <v>52</v>
      </c>
      <c r="G54" s="14" t="s">
        <v>15</v>
      </c>
      <c r="H54" s="15">
        <v>200.0</v>
      </c>
      <c r="I54" s="18">
        <f t="shared" si="3"/>
        <v>0</v>
      </c>
    </row>
    <row r="55" ht="22.5" customHeight="1">
      <c r="A55" s="13">
        <v>46093.27149944444</v>
      </c>
      <c r="B55" s="14" t="s">
        <v>80</v>
      </c>
      <c r="C55" s="14">
        <v>58.0</v>
      </c>
      <c r="D55" s="14">
        <v>1.5988081595E10</v>
      </c>
      <c r="E55" s="14" t="s">
        <v>41</v>
      </c>
      <c r="F55" s="14" t="s">
        <v>52</v>
      </c>
      <c r="G55" s="14" t="s">
        <v>15</v>
      </c>
      <c r="H55" s="15">
        <v>200.0</v>
      </c>
      <c r="I55" s="18">
        <f t="shared" si="3"/>
        <v>0</v>
      </c>
    </row>
    <row r="56" ht="22.5" customHeight="1">
      <c r="A56" s="9">
        <v>46093.42218518518</v>
      </c>
      <c r="B56" s="8" t="s">
        <v>81</v>
      </c>
      <c r="C56" s="8">
        <v>35.0</v>
      </c>
      <c r="D56" s="8">
        <v>1.5997920193E10</v>
      </c>
      <c r="E56" s="8" t="s">
        <v>10</v>
      </c>
      <c r="F56" s="8" t="s">
        <v>54</v>
      </c>
      <c r="G56" s="8" t="s">
        <v>55</v>
      </c>
      <c r="H56" s="6">
        <v>0.0</v>
      </c>
      <c r="I56" s="19">
        <f t="shared" si="3"/>
        <v>200</v>
      </c>
    </row>
    <row r="57" ht="22.5" customHeight="1">
      <c r="A57" s="9">
        <v>46093.42287763889</v>
      </c>
      <c r="B57" s="8" t="s">
        <v>82</v>
      </c>
      <c r="C57" s="8">
        <v>40.0</v>
      </c>
      <c r="D57" s="8">
        <v>1.5997920193E10</v>
      </c>
      <c r="E57" s="8" t="s">
        <v>10</v>
      </c>
      <c r="F57" s="8" t="s">
        <v>52</v>
      </c>
      <c r="G57" s="8" t="s">
        <v>55</v>
      </c>
      <c r="H57" s="6">
        <v>0.0</v>
      </c>
      <c r="I57" s="19">
        <f t="shared" si="3"/>
        <v>200</v>
      </c>
    </row>
    <row r="58" ht="22.5" customHeight="1">
      <c r="A58" s="9">
        <v>46093.42378237269</v>
      </c>
      <c r="B58" s="8" t="s">
        <v>83</v>
      </c>
      <c r="C58" s="8">
        <v>9.0</v>
      </c>
      <c r="D58" s="8">
        <v>1.5997920193E10</v>
      </c>
      <c r="E58" s="8" t="s">
        <v>10</v>
      </c>
      <c r="F58" s="8" t="s">
        <v>52</v>
      </c>
      <c r="G58" s="8" t="s">
        <v>55</v>
      </c>
      <c r="H58" s="6">
        <v>0.0</v>
      </c>
      <c r="I58" s="19">
        <f t="shared" si="3"/>
        <v>200</v>
      </c>
    </row>
    <row r="59" ht="22.5" customHeight="1">
      <c r="A59" s="9">
        <v>46093.424697407405</v>
      </c>
      <c r="B59" s="8" t="s">
        <v>84</v>
      </c>
      <c r="C59" s="8">
        <v>5.0</v>
      </c>
      <c r="D59" s="8">
        <v>1.5997920193E10</v>
      </c>
      <c r="E59" s="8" t="s">
        <v>10</v>
      </c>
      <c r="F59" s="8" t="s">
        <v>52</v>
      </c>
      <c r="G59" s="8" t="s">
        <v>55</v>
      </c>
      <c r="H59" s="6">
        <v>0.0</v>
      </c>
      <c r="I59" s="19">
        <f t="shared" si="3"/>
        <v>200</v>
      </c>
    </row>
    <row r="60" ht="22.5" customHeight="1">
      <c r="A60" s="9">
        <v>46093.523896493054</v>
      </c>
      <c r="B60" s="8" t="s">
        <v>85</v>
      </c>
      <c r="C60" s="8">
        <v>27.0</v>
      </c>
      <c r="D60" s="8">
        <v>1.5997324215E10</v>
      </c>
      <c r="E60" s="8" t="s">
        <v>10</v>
      </c>
      <c r="F60" s="8" t="s">
        <v>52</v>
      </c>
      <c r="G60" s="8" t="s">
        <v>15</v>
      </c>
      <c r="H60" s="6">
        <v>0.0</v>
      </c>
      <c r="I60" s="19">
        <f t="shared" si="3"/>
        <v>200</v>
      </c>
    </row>
    <row r="61" ht="22.5" customHeight="1">
      <c r="A61" s="13">
        <v>46093.70856616898</v>
      </c>
      <c r="B61" s="14" t="s">
        <v>86</v>
      </c>
      <c r="C61" s="14">
        <v>19.0</v>
      </c>
      <c r="D61" s="14">
        <v>1.1911980493E10</v>
      </c>
      <c r="E61" s="14" t="s">
        <v>14</v>
      </c>
      <c r="F61" s="14" t="s">
        <v>52</v>
      </c>
      <c r="G61" s="14" t="s">
        <v>15</v>
      </c>
      <c r="H61" s="15">
        <v>200.0</v>
      </c>
      <c r="I61" s="18">
        <f t="shared" si="3"/>
        <v>0</v>
      </c>
    </row>
    <row r="62" ht="22.5" customHeight="1">
      <c r="A62" s="9">
        <v>46094.71026572917</v>
      </c>
      <c r="B62" s="8" t="s">
        <v>87</v>
      </c>
      <c r="C62" s="8">
        <v>19.0</v>
      </c>
      <c r="D62" s="8">
        <v>1.1955200793E10</v>
      </c>
      <c r="E62" s="8" t="s">
        <v>88</v>
      </c>
      <c r="F62" s="16" t="s">
        <v>89</v>
      </c>
      <c r="G62" s="8" t="s">
        <v>55</v>
      </c>
      <c r="H62" s="6">
        <v>0.0</v>
      </c>
      <c r="I62" s="19">
        <f t="shared" si="3"/>
        <v>200</v>
      </c>
    </row>
    <row r="63" ht="22.5" customHeight="1">
      <c r="A63" s="9">
        <v>46095.34617701389</v>
      </c>
      <c r="B63" s="8" t="s">
        <v>90</v>
      </c>
      <c r="C63" s="8">
        <v>37.0</v>
      </c>
      <c r="D63" s="8">
        <v>1.5997232525E10</v>
      </c>
      <c r="E63" s="8" t="s">
        <v>26</v>
      </c>
      <c r="F63" s="8" t="s">
        <v>11</v>
      </c>
      <c r="G63" s="8" t="s">
        <v>55</v>
      </c>
      <c r="I63" s="21">
        <f t="shared" si="3"/>
        <v>200</v>
      </c>
    </row>
    <row r="64">
      <c r="H64" s="22"/>
      <c r="I64" s="22"/>
    </row>
    <row r="65">
      <c r="H65" s="23"/>
      <c r="I65" s="22"/>
    </row>
    <row r="66">
      <c r="A66" s="24"/>
      <c r="B66" s="25" t="s">
        <v>91</v>
      </c>
      <c r="C66" s="24"/>
      <c r="D66" s="24"/>
      <c r="E66" s="24"/>
      <c r="F66" s="24"/>
      <c r="G66" s="24"/>
      <c r="H66" s="26">
        <v>200.0</v>
      </c>
      <c r="I66" s="27">
        <f t="shared" ref="I66:I67" si="4">200-H66</f>
        <v>0</v>
      </c>
    </row>
    <row r="67">
      <c r="A67" s="24"/>
      <c r="B67" s="25" t="s">
        <v>92</v>
      </c>
      <c r="C67" s="24"/>
      <c r="D67" s="24"/>
      <c r="E67" s="24"/>
      <c r="F67" s="24"/>
      <c r="G67" s="24"/>
      <c r="H67" s="26">
        <v>200.0</v>
      </c>
      <c r="I67" s="27">
        <f t="shared" si="4"/>
        <v>0</v>
      </c>
    </row>
    <row r="68">
      <c r="H68" s="22"/>
      <c r="I68" s="22"/>
    </row>
    <row r="69">
      <c r="G69" s="28" t="s">
        <v>93</v>
      </c>
      <c r="H69" s="22">
        <f t="shared" ref="H69:I69" si="5">SUM(H2:H67)</f>
        <v>5082</v>
      </c>
      <c r="I69" s="22">
        <f t="shared" si="5"/>
        <v>6948</v>
      </c>
      <c r="J69" s="28" t="s">
        <v>94</v>
      </c>
    </row>
    <row r="70">
      <c r="H70" s="22"/>
      <c r="I70" s="22"/>
    </row>
    <row r="71">
      <c r="G71" s="28" t="s">
        <v>95</v>
      </c>
      <c r="H71" s="23">
        <f>300+100</f>
        <v>400</v>
      </c>
      <c r="I71" s="22"/>
    </row>
    <row r="72">
      <c r="H72" s="22"/>
      <c r="I72" s="22"/>
    </row>
    <row r="73">
      <c r="H73" s="22"/>
      <c r="I73" s="22"/>
    </row>
    <row r="74">
      <c r="G74" s="28" t="s">
        <v>96</v>
      </c>
      <c r="H74" s="22">
        <f>H69+H71</f>
        <v>5482</v>
      </c>
      <c r="I74" s="22"/>
    </row>
    <row r="75">
      <c r="H75" s="22"/>
      <c r="I75" s="22"/>
    </row>
    <row r="76">
      <c r="H76" s="22"/>
      <c r="I76" s="22"/>
    </row>
    <row r="77">
      <c r="H77" s="22"/>
      <c r="I77" s="22"/>
    </row>
    <row r="78">
      <c r="H78" s="22"/>
      <c r="I78" s="22"/>
    </row>
    <row r="79">
      <c r="H79" s="22"/>
      <c r="I79" s="22"/>
    </row>
    <row r="80">
      <c r="H80" s="22"/>
      <c r="I80" s="22"/>
    </row>
    <row r="81">
      <c r="H81" s="22"/>
      <c r="I81" s="22"/>
    </row>
    <row r="82">
      <c r="H82" s="22"/>
      <c r="I82" s="22"/>
    </row>
    <row r="83">
      <c r="H83" s="22"/>
      <c r="I83" s="22"/>
    </row>
    <row r="84">
      <c r="H84" s="22"/>
      <c r="I84" s="22"/>
    </row>
    <row r="85">
      <c r="H85" s="22"/>
      <c r="I85" s="22"/>
    </row>
    <row r="86">
      <c r="H86" s="22"/>
      <c r="I86" s="22"/>
    </row>
    <row r="87">
      <c r="H87" s="22"/>
      <c r="I87" s="22"/>
    </row>
    <row r="88">
      <c r="H88" s="22"/>
      <c r="I88" s="22"/>
    </row>
    <row r="89">
      <c r="H89" s="22"/>
      <c r="I89" s="22"/>
    </row>
    <row r="90">
      <c r="H90" s="22"/>
      <c r="I90" s="22"/>
    </row>
    <row r="91">
      <c r="H91" s="22"/>
      <c r="I91" s="22"/>
    </row>
    <row r="92">
      <c r="H92" s="22"/>
      <c r="I92" s="22"/>
    </row>
    <row r="93">
      <c r="H93" s="22"/>
      <c r="I93" s="22"/>
    </row>
    <row r="94">
      <c r="H94" s="22"/>
      <c r="I94" s="22"/>
    </row>
    <row r="95">
      <c r="H95" s="22"/>
      <c r="I95" s="22"/>
    </row>
    <row r="96">
      <c r="H96" s="22"/>
      <c r="I96" s="22"/>
    </row>
    <row r="97">
      <c r="H97" s="22"/>
      <c r="I97" s="22"/>
    </row>
    <row r="98">
      <c r="H98" s="22"/>
      <c r="I98" s="22"/>
    </row>
    <row r="99">
      <c r="H99" s="22"/>
      <c r="I99" s="22"/>
    </row>
    <row r="100">
      <c r="H100" s="22"/>
      <c r="I100" s="22"/>
    </row>
    <row r="101">
      <c r="H101" s="22"/>
      <c r="I101" s="22"/>
    </row>
    <row r="102">
      <c r="H102" s="22"/>
      <c r="I102" s="22"/>
    </row>
    <row r="103">
      <c r="H103" s="22"/>
      <c r="I103" s="22"/>
    </row>
    <row r="104">
      <c r="H104" s="22"/>
      <c r="I104" s="22"/>
    </row>
    <row r="105">
      <c r="H105" s="22"/>
      <c r="I105" s="22"/>
    </row>
    <row r="106">
      <c r="H106" s="22"/>
      <c r="I106" s="22"/>
    </row>
    <row r="107">
      <c r="H107" s="22"/>
      <c r="I107" s="22"/>
    </row>
    <row r="108">
      <c r="H108" s="22"/>
      <c r="I108" s="22"/>
    </row>
    <row r="109">
      <c r="H109" s="22"/>
      <c r="I109" s="22"/>
    </row>
    <row r="110">
      <c r="H110" s="22"/>
      <c r="I110" s="22"/>
    </row>
    <row r="111">
      <c r="H111" s="22"/>
      <c r="I111" s="22"/>
    </row>
    <row r="112">
      <c r="H112" s="22"/>
      <c r="I112" s="22"/>
    </row>
    <row r="113">
      <c r="H113" s="22"/>
      <c r="I113" s="22"/>
    </row>
    <row r="114">
      <c r="H114" s="22"/>
      <c r="I114" s="22"/>
    </row>
    <row r="115">
      <c r="H115" s="22"/>
      <c r="I115" s="22"/>
    </row>
    <row r="116">
      <c r="H116" s="22"/>
      <c r="I116" s="22"/>
    </row>
    <row r="117">
      <c r="H117" s="22"/>
      <c r="I117" s="22"/>
    </row>
    <row r="118">
      <c r="H118" s="22"/>
      <c r="I118" s="22"/>
    </row>
    <row r="119">
      <c r="H119" s="22"/>
      <c r="I119" s="22"/>
    </row>
    <row r="120">
      <c r="H120" s="22"/>
      <c r="I120" s="22"/>
    </row>
    <row r="121">
      <c r="H121" s="22"/>
      <c r="I121" s="22"/>
    </row>
    <row r="122">
      <c r="H122" s="22"/>
      <c r="I122" s="22"/>
    </row>
    <row r="123">
      <c r="H123" s="22"/>
      <c r="I123" s="22"/>
    </row>
    <row r="124">
      <c r="H124" s="22"/>
      <c r="I124" s="22"/>
    </row>
    <row r="125">
      <c r="H125" s="22"/>
      <c r="I125" s="22"/>
    </row>
    <row r="126">
      <c r="H126" s="22"/>
      <c r="I126" s="22"/>
    </row>
    <row r="127">
      <c r="H127" s="22"/>
      <c r="I127" s="22"/>
    </row>
    <row r="128">
      <c r="H128" s="22"/>
      <c r="I128" s="22"/>
    </row>
    <row r="129">
      <c r="H129" s="22"/>
      <c r="I129" s="22"/>
    </row>
    <row r="130">
      <c r="H130" s="22"/>
      <c r="I130" s="22"/>
    </row>
    <row r="131">
      <c r="H131" s="22"/>
      <c r="I131" s="22"/>
    </row>
    <row r="132">
      <c r="H132" s="22"/>
      <c r="I132" s="22"/>
    </row>
    <row r="133">
      <c r="H133" s="22"/>
      <c r="I133" s="22"/>
    </row>
    <row r="134">
      <c r="H134" s="22"/>
      <c r="I134" s="22"/>
    </row>
    <row r="135">
      <c r="H135" s="22"/>
      <c r="I135" s="22"/>
    </row>
    <row r="136">
      <c r="H136" s="22"/>
      <c r="I136" s="22"/>
    </row>
    <row r="137">
      <c r="H137" s="22"/>
      <c r="I137" s="22"/>
    </row>
    <row r="138">
      <c r="H138" s="22"/>
      <c r="I138" s="22"/>
    </row>
    <row r="139">
      <c r="H139" s="22"/>
      <c r="I139" s="22"/>
    </row>
    <row r="140">
      <c r="H140" s="22"/>
      <c r="I140" s="22"/>
    </row>
    <row r="141">
      <c r="H141" s="22"/>
      <c r="I141" s="22"/>
    </row>
    <row r="142">
      <c r="H142" s="22"/>
      <c r="I142" s="22"/>
    </row>
    <row r="143">
      <c r="H143" s="22"/>
      <c r="I143" s="22"/>
    </row>
    <row r="144">
      <c r="H144" s="22"/>
      <c r="I144" s="22"/>
    </row>
    <row r="145">
      <c r="H145" s="22"/>
      <c r="I145" s="22"/>
    </row>
    <row r="146">
      <c r="H146" s="22"/>
      <c r="I146" s="22"/>
    </row>
    <row r="147">
      <c r="H147" s="22"/>
      <c r="I147" s="22"/>
    </row>
    <row r="148">
      <c r="H148" s="22"/>
      <c r="I148" s="22"/>
    </row>
    <row r="149">
      <c r="H149" s="22"/>
      <c r="I149" s="22"/>
    </row>
    <row r="150">
      <c r="H150" s="22"/>
      <c r="I150" s="22"/>
    </row>
    <row r="151">
      <c r="H151" s="22"/>
      <c r="I151" s="22"/>
    </row>
    <row r="152">
      <c r="H152" s="22"/>
      <c r="I152" s="22"/>
    </row>
    <row r="153">
      <c r="H153" s="22"/>
      <c r="I153" s="22"/>
    </row>
    <row r="154">
      <c r="H154" s="22"/>
      <c r="I154" s="22"/>
    </row>
    <row r="155">
      <c r="H155" s="22"/>
      <c r="I155" s="22"/>
    </row>
    <row r="156">
      <c r="H156" s="22"/>
      <c r="I156" s="22"/>
    </row>
    <row r="157">
      <c r="H157" s="22"/>
      <c r="I157" s="22"/>
    </row>
    <row r="158">
      <c r="H158" s="22"/>
      <c r="I158" s="22"/>
    </row>
    <row r="159">
      <c r="H159" s="22"/>
      <c r="I159" s="22"/>
    </row>
    <row r="160">
      <c r="H160" s="22"/>
      <c r="I160" s="22"/>
    </row>
    <row r="161">
      <c r="H161" s="22"/>
      <c r="I161" s="22"/>
    </row>
    <row r="162">
      <c r="H162" s="22"/>
      <c r="I162" s="22"/>
    </row>
    <row r="163">
      <c r="H163" s="22"/>
      <c r="I163" s="22"/>
    </row>
  </sheetData>
  <drawing r:id="rId1"/>
  <tableParts count="1">
    <tablePart r:id="rId3"/>
  </tableParts>
</worksheet>
</file>